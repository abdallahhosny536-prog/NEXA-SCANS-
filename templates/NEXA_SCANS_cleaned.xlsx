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A SCANS" sheetId="1" state="visible" r:id="rId1"/>
  </sheets>
  <definedNames>
    <definedName name="MembersList">'NEXA SCANS'!$N$6:$N$25</definedName>
    <definedName name="_xlnm._FilterDatabase" localSheetId="0" hidden="1">'NEXA SCANS'!$A$4:$F$204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1"/>
      <scheme val="minor"/>
    </font>
    <font>
      <name val="Calibri"/>
      <b val="1"/>
      <color rgb="FFE5E7EB"/>
      <sz val="16"/>
    </font>
    <font/>
    <font>
      <name val="Calibri"/>
      <color rgb="FF9CA3AF"/>
      <sz val="10"/>
    </font>
    <font>
      <name val="Calibri"/>
      <color theme="1"/>
      <sz val="11"/>
    </font>
    <font>
      <name val="Calibri"/>
      <b val="1"/>
      <color rgb="FFE5E7EB"/>
      <sz val="11"/>
    </font>
    <font>
      <name val="Calibri"/>
      <b val="1"/>
      <color rgb="FFE5E7EB"/>
      <sz val="12"/>
    </font>
    <font>
      <name val="Calibri"/>
      <color rgb="FFE5E7EB"/>
      <sz val="10"/>
    </font>
    <font>
      <name val="Calibri"/>
      <b val="1"/>
      <color rgb="FFE5E7EB"/>
      <sz val="10"/>
    </font>
    <font>
      <name val="Calibri"/>
      <color rgb="FFFFFFFF"/>
      <sz val="10"/>
    </font>
    <font>
      <name val="Calibri"/>
      <color rgb="FF9CA3AF"/>
      <sz val="9"/>
    </font>
    <font>
      <name val="Calibri"/>
      <color rgb="FFE5E7EB"/>
      <sz val="6"/>
    </font>
  </fonts>
  <fills count="6">
    <fill>
      <patternFill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F1115"/>
        <bgColor rgb="FF0F1115"/>
      </patternFill>
    </fill>
    <fill>
      <patternFill patternType="solid">
        <fgColor rgb="FF1F2937"/>
        <bgColor rgb="FF1F2937"/>
      </patternFill>
    </fill>
    <fill>
      <patternFill patternType="solid">
        <fgColor rgb="FF171A21"/>
        <bgColor rgb="FF171A21"/>
      </patternFill>
    </fill>
  </fills>
  <borders count="12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2B3442"/>
      </left>
      <right style="thin">
        <color rgb="FF2B3442"/>
      </right>
      <top style="thin">
        <color rgb="FF2B3442"/>
      </top>
      <bottom style="thin">
        <color rgb="FF2B3442"/>
      </bottom>
    </border>
    <border>
      <left style="thin">
        <color rgb="FF2B3442"/>
      </left>
      <top style="thin">
        <color rgb="FF2B3442"/>
      </top>
      <bottom style="thin">
        <color rgb="FF2B3442"/>
      </bottom>
    </border>
    <border>
      <top style="thin">
        <color rgb="FF2B3442"/>
      </top>
      <bottom style="thin">
        <color rgb="FF2B3442"/>
      </bottom>
    </border>
    <border>
      <right style="thin">
        <color rgb="FF2B3442"/>
      </right>
      <top style="thin">
        <color rgb="FF2B3442"/>
      </top>
      <bottom style="thin">
        <color rgb="FF2B3442"/>
      </bottom>
    </border>
    <border>
      <left style="thin">
        <color rgb="FF2B3442"/>
      </left>
      <right style="thin">
        <color rgb="FF2B3442"/>
      </right>
      <top style="thin">
        <color rgb="FF2B344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2B3442"/>
      </top>
    </border>
    <border>
      <right style="thin">
        <color rgb="FF2B3442"/>
      </right>
      <top style="thin">
        <color rgb="FF2B3442"/>
      </top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3" pivotButton="0" quotePrefix="0" xfId="0"/>
    <xf numFmtId="0" fontId="5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7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6" fillId="4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2">
    <dxf>
      <font>
        <b val="1"/>
        <color rgb="FFFBBF24"/>
      </font>
      <fill>
        <patternFill patternType="solid">
          <fgColor rgb="FF3B2F14"/>
          <bgColor rgb="FF3B2F14"/>
        </patternFill>
      </fill>
      <border/>
    </dxf>
    <dxf>
      <font>
        <b val="1"/>
        <color rgb="FF86EFAC"/>
      </font>
      <fill>
        <patternFill patternType="solid">
          <fgColor rgb="FF12301D"/>
          <bgColor rgb="FF12301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34" customWidth="1" style="29" min="1" max="1"/>
    <col width="12" customWidth="1" style="29" min="2" max="2"/>
    <col width="18" customWidth="1" style="29" min="3" max="6"/>
    <col width="16" customWidth="1" style="29" min="7" max="7"/>
    <col width="18" customWidth="1" style="29" min="8" max="11"/>
    <col width="4" customWidth="1" style="29" min="12" max="13"/>
    <col width="24" customWidth="1" style="29" min="14" max="14"/>
    <col width="14" customWidth="1" style="29" min="15" max="18"/>
    <col width="14.38" customWidth="1" style="29" min="19" max="26"/>
  </cols>
  <sheetData>
    <row r="1" ht="25.5" customHeight="1" s="29">
      <c r="A1" s="1" t="inlineStr">
        <is>
          <t>NEXA SCANS</t>
        </is>
      </c>
    </row>
    <row r="2" ht="21.75" customHeight="1" s="29">
      <c r="A2" s="3" t="inlineStr">
        <is>
          <t>إدارة الأعمال • الترجمة • التدقيق • التحرير • النشر</t>
        </is>
      </c>
    </row>
    <row r="3">
      <c r="A3" s="4" t="n"/>
      <c r="B3" s="4" t="n"/>
      <c r="C3" s="4" t="n"/>
      <c r="D3" s="4" t="n"/>
      <c r="E3" s="4" t="n"/>
      <c r="F3" s="4" t="n"/>
    </row>
    <row r="4" ht="24" customHeight="1" s="29">
      <c r="A4" s="5" t="inlineStr">
        <is>
          <t>اسم العمل</t>
        </is>
      </c>
      <c r="B4" s="5" t="inlineStr">
        <is>
          <t>رقم الفصل</t>
        </is>
      </c>
      <c r="C4" s="5" t="inlineStr">
        <is>
          <t>الترجمة</t>
        </is>
      </c>
      <c r="D4" s="5" t="inlineStr">
        <is>
          <t>تدقيق الترجمة</t>
        </is>
      </c>
      <c r="E4" s="5" t="inlineStr">
        <is>
          <t>التحرير</t>
        </is>
      </c>
      <c r="F4" s="5" t="inlineStr">
        <is>
          <t>تدقيق التحرير</t>
        </is>
      </c>
      <c r="G4" s="5" t="inlineStr">
        <is>
          <t>النشر</t>
        </is>
      </c>
      <c r="H4" s="5" t="inlineStr">
        <is>
          <t>عضو الترجمة</t>
        </is>
      </c>
      <c r="I4" s="5" t="inlineStr">
        <is>
          <t>عضو تدقيق الترجمة</t>
        </is>
      </c>
      <c r="J4" s="5" t="inlineStr">
        <is>
          <t>عضو التحرير</t>
        </is>
      </c>
      <c r="K4" s="5" t="inlineStr">
        <is>
          <t>عضو تدقيق التحرير</t>
        </is>
      </c>
      <c r="N4" s="30" t="inlineStr">
        <is>
          <t>ملخص الأعضاء</t>
        </is>
      </c>
      <c r="O4" s="31" t="n"/>
      <c r="P4" s="31" t="n"/>
      <c r="Q4" s="31" t="n"/>
      <c r="R4" s="32" t="n"/>
    </row>
    <row r="5" ht="21.75" customHeight="1" s="29">
      <c r="A5" s="18" t="n"/>
      <c r="B5" s="2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N5" s="13" t="inlineStr">
        <is>
          <t>اسم العضو</t>
        </is>
      </c>
      <c r="O5" s="13" t="inlineStr">
        <is>
          <t>ترجمة</t>
        </is>
      </c>
      <c r="P5" s="13" t="inlineStr">
        <is>
          <t>تدقيق ترجمة</t>
        </is>
      </c>
      <c r="Q5" s="13" t="inlineStr">
        <is>
          <t>تحرير</t>
        </is>
      </c>
      <c r="R5" s="13" t="inlineStr">
        <is>
          <t>تدقيق تحرير</t>
        </is>
      </c>
    </row>
    <row r="6" ht="21.75" customHeight="1" s="29">
      <c r="A6" s="14" t="n"/>
      <c r="B6" s="23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N6" s="22" t="n"/>
      <c r="O6" s="17">
        <f>IF($N6="","",COUNTIFS($H$5:$H$204,$N6,$C$5:$C$204,"تمت الترجمة"))</f>
        <v/>
      </c>
      <c r="P6" s="17">
        <f>IF($N6="","",COUNTIFS($I$5:$I$204,$N6,$D$5:$D$204,"تم التدقيق"))</f>
        <v/>
      </c>
      <c r="Q6" s="17">
        <f>IF($N6="","",COUNTIFS($J$5:$J$204,$N6,$E$5:$E$204,"تم التحرير"))</f>
        <v/>
      </c>
      <c r="R6" s="17">
        <f>IF($N6="","",COUNTIFS($K$5:$K$204,$N6,$F$5:$F$204,"تم التدقيق"))</f>
        <v/>
      </c>
    </row>
    <row r="7" ht="21.75" customHeight="1" s="29">
      <c r="A7" s="18" t="n"/>
      <c r="B7" s="2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N7" s="23" t="n"/>
      <c r="O7" s="20">
        <f>IF($N7="","",COUNTIFS($H$5:$H$204,$N7,$C$5:$C$204,"تمت الترجمة"))</f>
        <v/>
      </c>
      <c r="P7" s="20">
        <f>IF($N7="","",COUNTIFS($I$5:$I$204,$N7,$D$5:$D$204,"تم التدقيق"))</f>
        <v/>
      </c>
      <c r="Q7" s="20">
        <f>IF($N7="","",COUNTIFS($J$5:$J$204,$N7,$E$5:$E$204,"تم التحرير"))</f>
        <v/>
      </c>
      <c r="R7" s="20">
        <f>IF($N7="","",COUNTIFS($K$5:$K$204,$N7,$F$5:$F$204,"تم التدقيق"))</f>
        <v/>
      </c>
    </row>
    <row r="8" ht="21.75" customHeight="1" s="29">
      <c r="A8" s="14" t="n"/>
      <c r="B8" s="23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N8" s="22" t="n"/>
      <c r="O8" s="17">
        <f>IF($N8="","",COUNTIFS($H$5:$H$204,$N8,$C$5:$C$204,"تمت الترجمة"))</f>
        <v/>
      </c>
      <c r="P8" s="17">
        <f>IF($N8="","",COUNTIFS($I$5:$I$204,$N8,$D$5:$D$204,"تم التدقيق"))</f>
        <v/>
      </c>
      <c r="Q8" s="17">
        <f>IF($N8="","",COUNTIFS($J$5:$J$204,$N8,$E$5:$E$204,"تم التحرير"))</f>
        <v/>
      </c>
      <c r="R8" s="17">
        <f>IF($N8="","",COUNTIFS($K$5:$K$204,$N8,$F$5:$F$204,"تم التدقيق"))</f>
        <v/>
      </c>
    </row>
    <row r="9" ht="21.75" customHeight="1" s="29">
      <c r="A9" s="18" t="n"/>
      <c r="B9" s="2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N9" s="23" t="n"/>
      <c r="O9" s="20">
        <f>IF($N9="","",COUNTIFS($H$5:$H$204,$N9,$C$5:$C$204,"تمت الترجمة"))</f>
        <v/>
      </c>
      <c r="P9" s="20">
        <f>IF($N9="","",COUNTIFS($I$5:$I$204,$N9,$D$5:$D$204,"تم التدقيق"))</f>
        <v/>
      </c>
      <c r="Q9" s="20">
        <f>IF($N9="","",COUNTIFS($J$5:$J$204,$N9,$E$5:$E$204,"تم التحرير"))</f>
        <v/>
      </c>
      <c r="R9" s="20">
        <f>IF($N9="","",COUNTIFS($K$5:$K$204,$N9,$F$5:$F$204,"تم التدقيق"))</f>
        <v/>
      </c>
    </row>
    <row r="10" ht="21.75" customHeight="1" s="29">
      <c r="A10" s="14" t="n"/>
      <c r="B10" s="23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N10" s="22" t="n"/>
      <c r="O10" s="17">
        <f>IF($N10="","",COUNTIFS($H$5:$H$204,$N10,$C$5:$C$204,"تمت الترجمة"))</f>
        <v/>
      </c>
      <c r="P10" s="17">
        <f>IF($N10="","",COUNTIFS($I$5:$I$204,$N10,$D$5:$D$204,"تم التدقيق"))</f>
        <v/>
      </c>
      <c r="Q10" s="17">
        <f>IF($N10="","",COUNTIFS($J$5:$J$204,$N10,$E$5:$E$204,"تم التحرير"))</f>
        <v/>
      </c>
      <c r="R10" s="17">
        <f>IF($N10="","",COUNTIFS($K$5:$K$204,$N10,$F$5:$F$204,"تم التدقيق"))</f>
        <v/>
      </c>
    </row>
    <row r="11" ht="21.75" customHeight="1" s="29">
      <c r="A11" s="18" t="n"/>
      <c r="B11" s="2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N11" s="23" t="n"/>
      <c r="O11" s="20">
        <f>IF($N11="","",COUNTIFS($H$5:$H$204,$N11,$C$5:$C$204,"تمت الترجمة"))</f>
        <v/>
      </c>
      <c r="P11" s="20">
        <f>IF($N11="","",COUNTIFS($I$5:$I$204,$N11,$D$5:$D$204,"تم التدقيق"))</f>
        <v/>
      </c>
      <c r="Q11" s="20">
        <f>IF($N11="","",COUNTIFS($J$5:$J$204,$N11,$E$5:$E$204,"تم التحرير"))</f>
        <v/>
      </c>
      <c r="R11" s="20">
        <f>IF($N11="","",COUNTIFS($K$5:$K$204,$N11,$F$5:$F$204,"تم التدقيق"))</f>
        <v/>
      </c>
    </row>
    <row r="12" ht="21.75" customHeight="1" s="29">
      <c r="A12" s="14" t="n"/>
      <c r="B12" s="23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N12" s="22" t="n"/>
      <c r="O12" s="17">
        <f>IF($N12="","",COUNTIFS($H$5:$H$204,$N12,$C$5:$C$204,"تمت الترجمة"))</f>
        <v/>
      </c>
      <c r="P12" s="17">
        <f>IF($N12="","",COUNTIFS($I$5:$I$204,$N12,$D$5:$D$204,"تم التدقيق"))</f>
        <v/>
      </c>
      <c r="Q12" s="17">
        <f>IF($N12="","",COUNTIFS($J$5:$J$204,$N12,$E$5:$E$204,"تم التحرير"))</f>
        <v/>
      </c>
      <c r="R12" s="17">
        <f>IF($N12="","",COUNTIFS($K$5:$K$204,$N12,$F$5:$F$204,"تم التدقيق"))</f>
        <v/>
      </c>
    </row>
    <row r="13" ht="21.75" customHeight="1" s="29">
      <c r="A13" s="18" t="n"/>
      <c r="B13" s="2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N13" s="23" t="n"/>
      <c r="O13" s="20">
        <f>IF($N13="","",COUNTIFS($H$5:$H$204,$N13,$C$5:$C$204,"تمت الترجمة"))</f>
        <v/>
      </c>
      <c r="P13" s="20">
        <f>IF($N13="","",COUNTIFS($I$5:$I$204,$N13,$D$5:$D$204,"تم التدقيق"))</f>
        <v/>
      </c>
      <c r="Q13" s="20">
        <f>IF($N13="","",COUNTIFS($J$5:$J$204,$N13,$E$5:$E$204,"تم التحرير"))</f>
        <v/>
      </c>
      <c r="R13" s="20">
        <f>IF($N13="","",COUNTIFS($K$5:$K$204,$N13,$F$5:$F$204,"تم التدقيق"))</f>
        <v/>
      </c>
    </row>
    <row r="14" ht="21.75" customHeight="1" s="29">
      <c r="A14" s="14" t="n"/>
      <c r="B14" s="23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N14" s="22" t="n"/>
      <c r="O14" s="17">
        <f>IF($N14="","",COUNTIFS($H$5:$H$204,$N14,$C$5:$C$204,"تمت الترجمة"))</f>
        <v/>
      </c>
      <c r="P14" s="17">
        <f>IF($N14="","",COUNTIFS($I$5:$I$204,$N14,$D$5:$D$204,"تم التدقيق"))</f>
        <v/>
      </c>
      <c r="Q14" s="17">
        <f>IF($N14="","",COUNTIFS($J$5:$J$204,$N14,$E$5:$E$204,"تم التحرير"))</f>
        <v/>
      </c>
      <c r="R14" s="17">
        <f>IF($N14="","",COUNTIFS($K$5:$K$204,$N14,$F$5:$F$204,"تم التدقيق"))</f>
        <v/>
      </c>
    </row>
    <row r="15" ht="21.75" customHeight="1" s="29">
      <c r="A15" s="18" t="n"/>
      <c r="B15" s="2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N15" s="23" t="n"/>
      <c r="O15" s="20">
        <f>IF($N15="","",COUNTIFS($H$5:$H$204,$N15,$C$5:$C$204,"تمت الترجمة"))</f>
        <v/>
      </c>
      <c r="P15" s="20">
        <f>IF($N15="","",COUNTIFS($I$5:$I$204,$N15,$D$5:$D$204,"تم التدقيق"))</f>
        <v/>
      </c>
      <c r="Q15" s="20">
        <f>IF($N15="","",COUNTIFS($J$5:$J$204,$N15,$E$5:$E$204,"تم التحرير"))</f>
        <v/>
      </c>
      <c r="R15" s="20">
        <f>IF($N15="","",COUNTIFS($K$5:$K$204,$N15,$F$5:$F$204,"تم التدقيق"))</f>
        <v/>
      </c>
    </row>
    <row r="16" ht="21.75" customHeight="1" s="29">
      <c r="A16" s="14" t="n"/>
      <c r="B16" s="23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N16" s="22" t="n"/>
      <c r="O16" s="17">
        <f>IF($N16="","",COUNTIFS($H$5:$H$204,$N16,$C$5:$C$204,"تمت الترجمة"))</f>
        <v/>
      </c>
      <c r="P16" s="17">
        <f>IF($N16="","",COUNTIFS($I$5:$I$204,$N16,$D$5:$D$204,"تم التدقيق"))</f>
        <v/>
      </c>
      <c r="Q16" s="17">
        <f>IF($N16="","",COUNTIFS($J$5:$J$204,$N16,$E$5:$E$204,"تم التحرير"))</f>
        <v/>
      </c>
      <c r="R16" s="17">
        <f>IF($N16="","",COUNTIFS($K$5:$K$204,$N16,$F$5:$F$204,"تم التدقيق"))</f>
        <v/>
      </c>
    </row>
    <row r="17" ht="21.75" customHeight="1" s="29">
      <c r="A17" s="18" t="n"/>
      <c r="B17" s="2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N17" s="23" t="n"/>
      <c r="O17" s="20">
        <f>IF($N17="","",COUNTIFS($H$5:$H$204,$N17,$C$5:$C$204,"تمت الترجمة"))</f>
        <v/>
      </c>
      <c r="P17" s="20">
        <f>IF($N17="","",COUNTIFS($I$5:$I$204,$N17,$D$5:$D$204,"تم التدقيق"))</f>
        <v/>
      </c>
      <c r="Q17" s="20">
        <f>IF($N17="","",COUNTIFS($J$5:$J$204,$N17,$E$5:$E$204,"تم التحرير"))</f>
        <v/>
      </c>
      <c r="R17" s="20">
        <f>IF($N17="","",COUNTIFS($K$5:$K$204,$N17,$F$5:$F$204,"تم التدقيق"))</f>
        <v/>
      </c>
    </row>
    <row r="18" ht="21.75" customHeight="1" s="29">
      <c r="A18" s="14" t="n"/>
      <c r="B18" s="23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N18" s="22" t="n"/>
      <c r="O18" s="17">
        <f>IF($N18="","",COUNTIFS($H$5:$H$204,$N18,$C$5:$C$204,"تمت الترجمة"))</f>
        <v/>
      </c>
      <c r="P18" s="17">
        <f>IF($N18="","",COUNTIFS($I$5:$I$204,$N18,$D$5:$D$204,"تم التدقيق"))</f>
        <v/>
      </c>
      <c r="Q18" s="17">
        <f>IF($N18="","",COUNTIFS($J$5:$J$204,$N18,$E$5:$E$204,"تم التحرير"))</f>
        <v/>
      </c>
      <c r="R18" s="17">
        <f>IF($N18="","",COUNTIFS($K$5:$K$204,$N18,$F$5:$F$204,"تم التدقيق"))</f>
        <v/>
      </c>
    </row>
    <row r="19" ht="21.75" customHeight="1" s="29">
      <c r="A19" s="18" t="n"/>
      <c r="B19" s="2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N19" s="23" t="n"/>
      <c r="O19" s="20">
        <f>IF($N19="","",COUNTIFS($H$5:$H$204,$N19,$C$5:$C$204,"تمت الترجمة"))</f>
        <v/>
      </c>
      <c r="P19" s="20">
        <f>IF($N19="","",COUNTIFS($I$5:$I$204,$N19,$D$5:$D$204,"تم التدقيق"))</f>
        <v/>
      </c>
      <c r="Q19" s="20">
        <f>IF($N19="","",COUNTIFS($J$5:$J$204,$N19,$E$5:$E$204,"تم التحرير"))</f>
        <v/>
      </c>
      <c r="R19" s="20">
        <f>IF($N19="","",COUNTIFS($K$5:$K$204,$N19,$F$5:$F$204,"تم التدقيق"))</f>
        <v/>
      </c>
    </row>
    <row r="20" ht="21.75" customHeight="1" s="29">
      <c r="A20" s="14" t="n"/>
      <c r="B20" s="23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N20" s="22" t="n"/>
      <c r="O20" s="17">
        <f>IF($N20="","",COUNTIFS($H$5:$H$204,$N20,$C$5:$C$204,"تمت الترجمة"))</f>
        <v/>
      </c>
      <c r="P20" s="17">
        <f>IF($N20="","",COUNTIFS($I$5:$I$204,$N20,$D$5:$D$204,"تم التدقيق"))</f>
        <v/>
      </c>
      <c r="Q20" s="17">
        <f>IF($N20="","",COUNTIFS($J$5:$J$204,$N20,$E$5:$E$204,"تم التحرير"))</f>
        <v/>
      </c>
      <c r="R20" s="17">
        <f>IF($N20="","",COUNTIFS($K$5:$K$204,$N20,$F$5:$F$204,"تم التدقيق"))</f>
        <v/>
      </c>
    </row>
    <row r="21" ht="21.75" customHeight="1" s="29">
      <c r="A21" s="18" t="n"/>
      <c r="B21" s="2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N21" s="23" t="n"/>
      <c r="O21" s="20">
        <f>IF($N21="","",COUNTIFS($H$5:$H$204,$N21,$C$5:$C$204,"تمت الترجمة"))</f>
        <v/>
      </c>
      <c r="P21" s="20">
        <f>IF($N21="","",COUNTIFS($I$5:$I$204,$N21,$D$5:$D$204,"تم التدقيق"))</f>
        <v/>
      </c>
      <c r="Q21" s="20">
        <f>IF($N21="","",COUNTIFS($J$5:$J$204,$N21,$E$5:$E$204,"تم التحرير"))</f>
        <v/>
      </c>
      <c r="R21" s="20">
        <f>IF($N21="","",COUNTIFS($K$5:$K$204,$N21,$F$5:$F$204,"تم التدقيق"))</f>
        <v/>
      </c>
    </row>
    <row r="22" ht="21.75" customHeight="1" s="29">
      <c r="A22" s="14" t="n"/>
      <c r="B22" s="23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N22" s="22" t="n"/>
      <c r="O22" s="17">
        <f>IF($N22="","",COUNTIFS($H$5:$H$204,$N22,$C$5:$C$204,"تمت الترجمة"))</f>
        <v/>
      </c>
      <c r="P22" s="17">
        <f>IF($N22="","",COUNTIFS($I$5:$I$204,$N22,$D$5:$D$204,"تم التدقيق"))</f>
        <v/>
      </c>
      <c r="Q22" s="17">
        <f>IF($N22="","",COUNTIFS($J$5:$J$204,$N22,$E$5:$E$204,"تم التحرير"))</f>
        <v/>
      </c>
      <c r="R22" s="17">
        <f>IF($N22="","",COUNTIFS($K$5:$K$204,$N22,$F$5:$F$204,"تم التدقيق"))</f>
        <v/>
      </c>
    </row>
    <row r="23" ht="21.75" customHeight="1" s="29">
      <c r="A23" s="18" t="n"/>
      <c r="B23" s="2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N23" s="23" t="n"/>
      <c r="O23" s="20">
        <f>IF($N23="","",COUNTIFS($H$5:$H$204,$N23,$C$5:$C$204,"تمت الترجمة"))</f>
        <v/>
      </c>
      <c r="P23" s="20">
        <f>IF($N23="","",COUNTIFS($I$5:$I$204,$N23,$D$5:$D$204,"تم التدقيق"))</f>
        <v/>
      </c>
      <c r="Q23" s="20">
        <f>IF($N23="","",COUNTIFS($J$5:$J$204,$N23,$E$5:$E$204,"تم التحرير"))</f>
        <v/>
      </c>
      <c r="R23" s="20">
        <f>IF($N23="","",COUNTIFS($K$5:$K$204,$N23,$F$5:$F$204,"تم التدقيق"))</f>
        <v/>
      </c>
    </row>
    <row r="24" ht="21.75" customHeight="1" s="29">
      <c r="A24" s="14" t="n"/>
      <c r="B24" s="23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N24" s="22" t="n"/>
      <c r="O24" s="17">
        <f>IF($N24="","",COUNTIFS($H$5:$H$204,$N24,$C$5:$C$204,"تمت الترجمة"))</f>
        <v/>
      </c>
      <c r="P24" s="17">
        <f>IF($N24="","",COUNTIFS($I$5:$I$204,$N24,$D$5:$D$204,"تم التدقيق"))</f>
        <v/>
      </c>
      <c r="Q24" s="17">
        <f>IF($N24="","",COUNTIFS($J$5:$J$204,$N24,$E$5:$E$204,"تم التحرير"))</f>
        <v/>
      </c>
      <c r="R24" s="17">
        <f>IF($N24="","",COUNTIFS($K$5:$K$204,$N24,$F$5:$F$204,"تم التدقيق"))</f>
        <v/>
      </c>
    </row>
    <row r="25" ht="21.75" customHeight="1" s="29">
      <c r="A25" s="18" t="n"/>
      <c r="B25" s="2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N25" s="24" t="n"/>
      <c r="O25" s="25">
        <f>IF($N25="","",COUNTIFS($H$5:$H$204,$N25,$C$5:$C$204,"تمت الترجمة"))</f>
        <v/>
      </c>
      <c r="P25" s="25">
        <f>IF($N25="","",COUNTIFS($I$5:$I$204,$N25,$D$5:$D$204,"تم التدقيق"))</f>
        <v/>
      </c>
      <c r="Q25" s="25">
        <f>IF($N25="","",COUNTIFS($J$5:$J$204,$N25,$E$5:$E$204,"تم التحرير"))</f>
        <v/>
      </c>
      <c r="R25" s="25">
        <f>IF($N25="","",COUNTIFS($K$5:$K$204,$N25,$F$5:$F$204,"تم التدقيق"))</f>
        <v/>
      </c>
    </row>
    <row r="26" ht="21.75" customHeight="1" s="29">
      <c r="A26" s="14" t="n"/>
      <c r="B26" s="23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N26" s="26" t="n"/>
      <c r="O26" s="26" t="n"/>
      <c r="P26" s="26" t="n"/>
      <c r="Q26" s="26" t="n"/>
      <c r="R26" s="26" t="n"/>
    </row>
    <row r="27" ht="21.75" customHeight="1" s="29">
      <c r="A27" s="18" t="n"/>
      <c r="B27" s="2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21.75" customHeight="1" s="29">
      <c r="A28" s="14" t="n"/>
      <c r="B28" s="23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N28" s="30" t="n"/>
      <c r="O28" s="32" t="n"/>
    </row>
    <row r="29" ht="21.75" customHeight="1" s="29">
      <c r="A29" s="18" t="n"/>
      <c r="B29" s="2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N29" s="27" t="n"/>
      <c r="O29" s="27" t="inlineStr">
        <is>
          <t>مجموع الفصول</t>
        </is>
      </c>
    </row>
    <row r="30" ht="21.75" customHeight="1" s="29">
      <c r="A30" s="14" t="n"/>
      <c r="B30" s="23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N30" s="22" t="n"/>
      <c r="O30" s="12">
        <f>IF($N30="","",COUNTIF($A$5:$A$204,$N30))</f>
        <v/>
      </c>
    </row>
    <row r="31" ht="21.75" customHeight="1" s="29">
      <c r="A31" s="18" t="n"/>
      <c r="B31" s="2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N31" s="23" t="n"/>
      <c r="O31" s="16">
        <f>IF($N31="","",COUNTIF($A$5:$A$204,$N31))</f>
        <v/>
      </c>
    </row>
    <row r="32" ht="21.75" customHeight="1" s="29">
      <c r="A32" s="14" t="n"/>
      <c r="B32" s="23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N32" s="22" t="n"/>
      <c r="O32" s="12">
        <f>IF($N32="","",COUNTIF($A$5:$A$204,$N32))</f>
        <v/>
      </c>
    </row>
    <row r="33" ht="21.75" customHeight="1" s="29">
      <c r="A33" s="18" t="n"/>
      <c r="B33" s="2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N33" s="28" t="n"/>
      <c r="O33" s="16">
        <f>IF($N33="","",COUNTIF($A$5:$A$204,$N33))</f>
        <v/>
      </c>
    </row>
    <row r="34" ht="21.75" customHeight="1" s="29">
      <c r="A34" s="14" t="n"/>
      <c r="B34" s="23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N34" s="22" t="n"/>
      <c r="O34" s="12">
        <f>IF($N34="","",COUNTIF($A$5:$A$204,$N34))</f>
        <v/>
      </c>
    </row>
    <row r="35" ht="21.75" customHeight="1" s="29">
      <c r="A35" s="18" t="n"/>
      <c r="B35" s="2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N35" s="14" t="n"/>
      <c r="O35" s="16">
        <f>IF($N35="","",COUNTIF($A$5:$A$204,$N35))</f>
        <v/>
      </c>
    </row>
    <row r="36" ht="21.75" customHeight="1" s="29">
      <c r="A36" s="14" t="n"/>
      <c r="B36" s="23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N36" s="18" t="n"/>
      <c r="O36" s="12">
        <f>IF($N36="","",COUNTIF($A$5:$A$204,$N36))</f>
        <v/>
      </c>
    </row>
    <row r="37" ht="21.75" customHeight="1" s="29">
      <c r="A37" s="18" t="n"/>
      <c r="B37" s="2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N37" s="14" t="n"/>
      <c r="O37" s="16">
        <f>IF($N37="","",COUNTIF($A$5:$A$204,$N37))</f>
        <v/>
      </c>
    </row>
    <row r="38" ht="21.75" customHeight="1" s="29">
      <c r="A38" s="14" t="n"/>
      <c r="B38" s="23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N38" s="18" t="n"/>
      <c r="O38" s="12">
        <f>IF($N38="","",COUNTIF($A$5:$A$204,$N38))</f>
        <v/>
      </c>
    </row>
    <row r="39" ht="21.75" customHeight="1" s="29">
      <c r="A39" s="18" t="n"/>
      <c r="B39" s="2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N39" s="14" t="n"/>
      <c r="O39" s="16">
        <f>IF($N39="","",COUNTIF($A$5:$A$204,$N39))</f>
        <v/>
      </c>
    </row>
    <row r="40" ht="21.75" customHeight="1" s="29">
      <c r="A40" s="14" t="n"/>
      <c r="B40" s="23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N40" s="18" t="n"/>
      <c r="O40" s="12">
        <f>IF($N40="","",COUNTIF($A$5:$A$204,$N40))</f>
        <v/>
      </c>
    </row>
    <row r="41" ht="21.75" customHeight="1" s="29">
      <c r="A41" s="18" t="n"/>
      <c r="B41" s="2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N41" s="14" t="n"/>
      <c r="O41" s="16">
        <f>IF($N41="","",COUNTIF($A$5:$A$204,$N41))</f>
        <v/>
      </c>
    </row>
    <row r="42" ht="21.75" customHeight="1" s="29">
      <c r="A42" s="14" t="n"/>
      <c r="B42" s="23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N42" s="18" t="n"/>
      <c r="O42" s="12">
        <f>IF($N42="","",COUNTIF($A$5:$A$204,$N42))</f>
        <v/>
      </c>
    </row>
    <row r="43" ht="21.75" customHeight="1" s="29">
      <c r="A43" s="18" t="n"/>
      <c r="B43" s="2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N43" s="14" t="n"/>
      <c r="O43" s="16">
        <f>IF($N43="","",COUNTIF($A$5:$A$204,$N43))</f>
        <v/>
      </c>
    </row>
    <row r="44" ht="21.75" customHeight="1" s="29">
      <c r="A44" s="14" t="n"/>
      <c r="B44" s="23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N44" s="18" t="n"/>
      <c r="O44" s="12">
        <f>IF($N44="","",COUNTIF($A$5:$A$204,$N44))</f>
        <v/>
      </c>
    </row>
    <row r="45" ht="21.75" customHeight="1" s="29">
      <c r="A45" s="18" t="n"/>
      <c r="B45" s="2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N45" s="14" t="n"/>
      <c r="O45" s="16">
        <f>IF($N45="","",COUNTIF($A$5:$A$204,$N45))</f>
        <v/>
      </c>
    </row>
    <row r="46" ht="21.75" customHeight="1" s="29">
      <c r="A46" s="14" t="n"/>
      <c r="B46" s="23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N46" s="18" t="n"/>
      <c r="O46" s="12">
        <f>IF($N46="","",COUNTIF($A$5:$A$204,$N46))</f>
        <v/>
      </c>
    </row>
    <row r="47" ht="21.75" customHeight="1" s="29">
      <c r="A47" s="18" t="n"/>
      <c r="B47" s="2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N47" s="14" t="n"/>
      <c r="O47" s="16">
        <f>IF($N47="","",COUNTIF($A$5:$A$204,$N47))</f>
        <v/>
      </c>
    </row>
    <row r="48" ht="21.75" customHeight="1" s="29">
      <c r="A48" s="14" t="n"/>
      <c r="B48" s="23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N48" s="18" t="n"/>
      <c r="O48" s="12">
        <f>IF($N48="","",COUNTIF($A$5:$A$204,$N48))</f>
        <v/>
      </c>
    </row>
    <row r="49" ht="21.75" customHeight="1" s="29">
      <c r="A49" s="18" t="n"/>
      <c r="B49" s="2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N49" s="14" t="n"/>
      <c r="O49" s="16">
        <f>IF($N49="","",COUNTIF($A$5:$A$204,$N49))</f>
        <v/>
      </c>
    </row>
    <row r="50" ht="21.75" customHeight="1" s="29">
      <c r="A50" s="14" t="n"/>
      <c r="B50" s="23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</row>
    <row r="51" ht="21.75" customHeight="1" s="29">
      <c r="A51" s="18" t="n"/>
      <c r="B51" s="2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21.75" customHeight="1" s="29">
      <c r="A52" s="14" t="n"/>
      <c r="B52" s="23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</row>
    <row r="53" ht="21.75" customHeight="1" s="29">
      <c r="A53" s="18" t="n"/>
      <c r="B53" s="2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21.75" customHeight="1" s="29">
      <c r="A54" s="14" t="n"/>
      <c r="B54" s="23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</row>
    <row r="55" ht="21.75" customHeight="1" s="29">
      <c r="A55" s="18" t="n"/>
      <c r="B55" s="2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21.75" customHeight="1" s="29">
      <c r="A56" s="14" t="n"/>
      <c r="B56" s="23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</row>
    <row r="57" ht="21.75" customHeight="1" s="29">
      <c r="A57" s="18" t="n"/>
      <c r="B57" s="2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21.75" customHeight="1" s="29">
      <c r="A58" s="14" t="n"/>
      <c r="B58" s="23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</row>
    <row r="59" ht="21.75" customHeight="1" s="29">
      <c r="A59" s="18" t="n"/>
      <c r="B59" s="2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21.75" customHeight="1" s="29">
      <c r="A60" s="14" t="n"/>
      <c r="B60" s="23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</row>
    <row r="61" ht="21.75" customHeight="1" s="29">
      <c r="A61" s="18" t="n"/>
      <c r="B61" s="2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21.75" customHeight="1" s="29">
      <c r="A62" s="14" t="n"/>
      <c r="B62" s="23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</row>
    <row r="63" ht="21.75" customHeight="1" s="29">
      <c r="A63" s="18" t="n"/>
      <c r="B63" s="2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21.75" customHeight="1" s="29">
      <c r="A64" s="14" t="n"/>
      <c r="B64" s="23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</row>
    <row r="65" ht="21.75" customHeight="1" s="29">
      <c r="A65" s="18" t="n"/>
      <c r="B65" s="2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21.75" customHeight="1" s="29">
      <c r="A66" s="14" t="n"/>
      <c r="B66" s="23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</row>
    <row r="67" ht="21.75" customHeight="1" s="29">
      <c r="A67" s="18" t="n"/>
      <c r="B67" s="2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21.75" customHeight="1" s="29">
      <c r="A68" s="14" t="n"/>
      <c r="B68" s="23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</row>
    <row r="69" ht="21.75" customHeight="1" s="29">
      <c r="A69" s="18" t="n"/>
      <c r="B69" s="2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21.75" customHeight="1" s="29">
      <c r="A70" s="14" t="n"/>
      <c r="B70" s="23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</row>
    <row r="71" ht="21.75" customHeight="1" s="29">
      <c r="A71" s="18" t="n"/>
      <c r="B71" s="2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21.75" customHeight="1" s="29">
      <c r="A72" s="14" t="n"/>
      <c r="B72" s="23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</row>
    <row r="73" ht="21.75" customHeight="1" s="29">
      <c r="A73" s="18" t="n"/>
      <c r="B73" s="2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21.75" customHeight="1" s="29">
      <c r="A74" s="14" t="n"/>
      <c r="B74" s="23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</row>
    <row r="75" ht="21.75" customHeight="1" s="29">
      <c r="A75" s="18" t="n"/>
      <c r="B75" s="2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21.75" customHeight="1" s="29">
      <c r="A76" s="14" t="n"/>
      <c r="B76" s="23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</row>
    <row r="77" ht="21.75" customHeight="1" s="29">
      <c r="A77" s="18" t="n"/>
      <c r="B77" s="2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21.75" customHeight="1" s="29">
      <c r="A78" s="14" t="n"/>
      <c r="B78" s="23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</row>
    <row r="79" ht="21.75" customHeight="1" s="29">
      <c r="A79" s="18" t="n"/>
      <c r="B79" s="2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21.75" customHeight="1" s="29">
      <c r="A80" s="14" t="n"/>
      <c r="B80" s="23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</row>
    <row r="81" ht="21.75" customHeight="1" s="29">
      <c r="A81" s="18" t="n"/>
      <c r="B81" s="2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21.75" customHeight="1" s="29">
      <c r="A82" s="14" t="n"/>
      <c r="B82" s="23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</row>
    <row r="83" ht="21.75" customHeight="1" s="29">
      <c r="A83" s="18" t="n"/>
      <c r="B83" s="2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21.75" customHeight="1" s="29">
      <c r="A84" s="14" t="n"/>
      <c r="B84" s="23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</row>
    <row r="85" ht="21.75" customHeight="1" s="29">
      <c r="A85" s="18" t="n"/>
      <c r="B85" s="2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21.75" customHeight="1" s="29">
      <c r="A86" s="14" t="n"/>
      <c r="B86" s="23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</row>
    <row r="87" ht="21.75" customHeight="1" s="29">
      <c r="A87" s="18" t="n"/>
      <c r="B87" s="2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21.75" customHeight="1" s="29">
      <c r="A88" s="14" t="n"/>
      <c r="B88" s="23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</row>
    <row r="89" ht="21.75" customHeight="1" s="29">
      <c r="A89" s="18" t="n"/>
      <c r="B89" s="2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21.75" customHeight="1" s="29">
      <c r="A90" s="14" t="n"/>
      <c r="B90" s="23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</row>
    <row r="91" ht="21.75" customHeight="1" s="29">
      <c r="A91" s="18" t="n"/>
      <c r="B91" s="2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21.75" customHeight="1" s="29">
      <c r="A92" s="14" t="n"/>
      <c r="B92" s="23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</row>
    <row r="93" ht="21.75" customHeight="1" s="29">
      <c r="A93" s="18" t="n"/>
      <c r="B93" s="2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21.75" customHeight="1" s="29">
      <c r="A94" s="14" t="n"/>
      <c r="B94" s="23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</row>
    <row r="95" ht="21.75" customHeight="1" s="29">
      <c r="A95" s="18" t="n"/>
      <c r="B95" s="2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21.75" customHeight="1" s="29">
      <c r="A96" s="14" t="n"/>
      <c r="B96" s="23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</row>
    <row r="97" ht="21.75" customHeight="1" s="29">
      <c r="A97" s="18" t="n"/>
      <c r="B97" s="2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21.75" customHeight="1" s="29">
      <c r="A98" s="14" t="n"/>
      <c r="B98" s="23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</row>
    <row r="99" ht="21.75" customHeight="1" s="29">
      <c r="A99" s="18" t="n"/>
      <c r="B99" s="2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21.75" customHeight="1" s="29">
      <c r="A100" s="14" t="n"/>
      <c r="B100" s="23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</row>
    <row r="101" ht="21.75" customHeight="1" s="29">
      <c r="A101" s="18" t="n"/>
      <c r="B101" s="2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21.75" customHeight="1" s="29">
      <c r="A102" s="14" t="n"/>
      <c r="B102" s="23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</row>
    <row r="103" ht="21.75" customHeight="1" s="29">
      <c r="A103" s="18" t="n"/>
      <c r="B103" s="2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21.75" customHeight="1" s="29">
      <c r="A104" s="14" t="n"/>
      <c r="B104" s="23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</row>
    <row r="105" ht="21.75" customHeight="1" s="29">
      <c r="A105" s="18" t="n"/>
      <c r="B105" s="2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21.75" customHeight="1" s="29">
      <c r="A106" s="14" t="n"/>
      <c r="B106" s="23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</row>
    <row r="107" ht="21.75" customHeight="1" s="29">
      <c r="A107" s="18" t="n"/>
      <c r="B107" s="2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21.75" customHeight="1" s="29">
      <c r="A108" s="14" t="n"/>
      <c r="B108" s="23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</row>
    <row r="109" ht="21.75" customHeight="1" s="29">
      <c r="A109" s="18" t="n"/>
      <c r="B109" s="2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21.75" customHeight="1" s="29">
      <c r="A110" s="14" t="n"/>
      <c r="B110" s="23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</row>
    <row r="111" ht="21.75" customHeight="1" s="29">
      <c r="A111" s="18" t="n"/>
      <c r="B111" s="2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21.75" customHeight="1" s="29">
      <c r="A112" s="14" t="n"/>
      <c r="B112" s="23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</row>
    <row r="113" ht="21.75" customHeight="1" s="29">
      <c r="A113" s="18" t="n"/>
      <c r="B113" s="2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21.75" customHeight="1" s="29">
      <c r="A114" s="14" t="n"/>
      <c r="B114" s="23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</row>
    <row r="115" ht="21.75" customHeight="1" s="29">
      <c r="A115" s="18" t="n"/>
      <c r="B115" s="2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21.75" customHeight="1" s="29">
      <c r="A116" s="14" t="n"/>
      <c r="B116" s="23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</row>
    <row r="117" ht="21.75" customHeight="1" s="29">
      <c r="A117" s="18" t="n"/>
      <c r="B117" s="2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21.75" customHeight="1" s="29">
      <c r="A118" s="14" t="n"/>
      <c r="B118" s="23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</row>
    <row r="119" ht="21.75" customHeight="1" s="29">
      <c r="A119" s="18" t="n"/>
      <c r="B119" s="2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21.75" customHeight="1" s="29">
      <c r="A120" s="14" t="n"/>
      <c r="B120" s="23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</row>
    <row r="121" ht="21.75" customHeight="1" s="29">
      <c r="A121" s="18" t="n"/>
      <c r="B121" s="2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21.75" customHeight="1" s="29">
      <c r="A122" s="14" t="n"/>
      <c r="B122" s="23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</row>
    <row r="123" ht="21.75" customHeight="1" s="29">
      <c r="A123" s="18" t="n"/>
      <c r="B123" s="2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21.75" customHeight="1" s="29">
      <c r="A124" s="14" t="n"/>
      <c r="B124" s="23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</row>
    <row r="125" ht="21.75" customHeight="1" s="29">
      <c r="A125" s="18" t="n"/>
      <c r="B125" s="2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21.75" customHeight="1" s="29">
      <c r="A126" s="14" t="n"/>
      <c r="B126" s="23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</row>
    <row r="127" ht="21.75" customHeight="1" s="29">
      <c r="A127" s="18" t="n"/>
      <c r="B127" s="2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21.75" customHeight="1" s="29">
      <c r="A128" s="14" t="n"/>
      <c r="B128" s="23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</row>
    <row r="129" ht="21.75" customHeight="1" s="29">
      <c r="A129" s="18" t="n"/>
      <c r="B129" s="2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21.75" customHeight="1" s="29">
      <c r="A130" s="14" t="n"/>
      <c r="B130" s="23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</row>
    <row r="131" ht="21.75" customHeight="1" s="29">
      <c r="A131" s="18" t="n"/>
      <c r="B131" s="2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21.75" customHeight="1" s="29">
      <c r="A132" s="14" t="n"/>
      <c r="B132" s="23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</row>
    <row r="133" ht="21.75" customHeight="1" s="29">
      <c r="A133" s="18" t="n"/>
      <c r="B133" s="2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21.75" customHeight="1" s="29">
      <c r="A134" s="14" t="n"/>
      <c r="B134" s="23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</row>
    <row r="135" ht="21.75" customHeight="1" s="29">
      <c r="A135" s="18" t="n"/>
      <c r="B135" s="2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21.75" customHeight="1" s="29">
      <c r="A136" s="14" t="n"/>
      <c r="B136" s="23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</row>
    <row r="137" ht="21.75" customHeight="1" s="29">
      <c r="A137" s="18" t="n"/>
      <c r="B137" s="2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21.75" customHeight="1" s="29">
      <c r="A138" s="14" t="n"/>
      <c r="B138" s="23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</row>
    <row r="139" ht="21.75" customHeight="1" s="29">
      <c r="A139" s="18" t="n"/>
      <c r="B139" s="2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21.75" customHeight="1" s="29">
      <c r="A140" s="14" t="n"/>
      <c r="B140" s="23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</row>
    <row r="141" ht="21.75" customHeight="1" s="29">
      <c r="A141" s="18" t="n"/>
      <c r="B141" s="2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21.75" customHeight="1" s="29">
      <c r="A142" s="14" t="n"/>
      <c r="B142" s="23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</row>
    <row r="143" ht="21.75" customHeight="1" s="29">
      <c r="A143" s="18" t="n"/>
      <c r="B143" s="2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21.75" customHeight="1" s="29">
      <c r="A144" s="14" t="n"/>
      <c r="B144" s="23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</row>
    <row r="145" ht="21.75" customHeight="1" s="29">
      <c r="A145" s="18" t="n"/>
      <c r="B145" s="2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21.75" customHeight="1" s="29">
      <c r="A146" s="14" t="n"/>
      <c r="B146" s="23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</row>
    <row r="147" ht="21.75" customHeight="1" s="29">
      <c r="A147" s="18" t="n"/>
      <c r="B147" s="2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21.75" customHeight="1" s="29">
      <c r="A148" s="14" t="n"/>
      <c r="B148" s="23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</row>
    <row r="149" ht="21.75" customHeight="1" s="29">
      <c r="A149" s="18" t="n"/>
      <c r="B149" s="2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21.75" customHeight="1" s="29">
      <c r="A150" s="14" t="n"/>
      <c r="B150" s="23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</row>
    <row r="151" ht="21.75" customHeight="1" s="29">
      <c r="A151" s="18" t="n"/>
      <c r="B151" s="2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21.75" customHeight="1" s="29">
      <c r="A152" s="14" t="n"/>
      <c r="B152" s="23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</row>
    <row r="153" ht="21.75" customHeight="1" s="29">
      <c r="A153" s="18" t="n"/>
      <c r="B153" s="2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21.75" customHeight="1" s="29">
      <c r="A154" s="14" t="n"/>
      <c r="B154" s="23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</row>
    <row r="155" ht="21.75" customHeight="1" s="29">
      <c r="A155" s="18" t="n"/>
      <c r="B155" s="2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21.75" customHeight="1" s="29">
      <c r="A156" s="14" t="n"/>
      <c r="B156" s="23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</row>
    <row r="157" ht="21.75" customHeight="1" s="29">
      <c r="A157" s="18" t="n"/>
      <c r="B157" s="2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21.75" customHeight="1" s="29">
      <c r="A158" s="14" t="n"/>
      <c r="B158" s="23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</row>
    <row r="159" ht="21.75" customHeight="1" s="29">
      <c r="A159" s="18" t="n"/>
      <c r="B159" s="2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21.75" customHeight="1" s="29">
      <c r="A160" s="14" t="n"/>
      <c r="B160" s="23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</row>
    <row r="161" ht="21.75" customHeight="1" s="29">
      <c r="A161" s="18" t="n"/>
      <c r="B161" s="2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21.75" customHeight="1" s="29">
      <c r="A162" s="14" t="n"/>
      <c r="B162" s="23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</row>
    <row r="163" ht="21.75" customHeight="1" s="29">
      <c r="A163" s="18" t="n"/>
      <c r="B163" s="2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21.75" customHeight="1" s="29">
      <c r="A164" s="14" t="n"/>
      <c r="B164" s="23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</row>
    <row r="165" ht="21.75" customHeight="1" s="29">
      <c r="A165" s="18" t="n"/>
      <c r="B165" s="2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21.75" customHeight="1" s="29">
      <c r="A166" s="14" t="n"/>
      <c r="B166" s="23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</row>
    <row r="167" ht="21.75" customHeight="1" s="29">
      <c r="A167" s="18" t="n"/>
      <c r="B167" s="2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21.75" customHeight="1" s="29">
      <c r="A168" s="14" t="n"/>
      <c r="B168" s="23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</row>
    <row r="169" ht="21.75" customHeight="1" s="29">
      <c r="A169" s="18" t="n"/>
      <c r="B169" s="2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21.75" customHeight="1" s="29">
      <c r="A170" s="14" t="n"/>
      <c r="B170" s="23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</row>
    <row r="171" ht="21.75" customHeight="1" s="29">
      <c r="A171" s="18" t="n"/>
      <c r="B171" s="2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21.75" customHeight="1" s="29">
      <c r="A172" s="14" t="n"/>
      <c r="B172" s="23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</row>
    <row r="173" ht="21.75" customHeight="1" s="29">
      <c r="A173" s="18" t="n"/>
      <c r="B173" s="2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21.75" customHeight="1" s="29">
      <c r="A174" s="14" t="n"/>
      <c r="B174" s="23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</row>
    <row r="175" ht="21.75" customHeight="1" s="29">
      <c r="A175" s="18" t="n"/>
      <c r="B175" s="2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21.75" customHeight="1" s="29">
      <c r="A176" s="14" t="n"/>
      <c r="B176" s="23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</row>
    <row r="177" ht="21.75" customHeight="1" s="29">
      <c r="A177" s="18" t="n"/>
      <c r="B177" s="2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21.75" customHeight="1" s="29">
      <c r="A178" s="14" t="n"/>
      <c r="B178" s="23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</row>
    <row r="179" ht="21.75" customHeight="1" s="29">
      <c r="A179" s="18" t="n"/>
      <c r="B179" s="2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21.75" customHeight="1" s="29">
      <c r="A180" s="14" t="n"/>
      <c r="B180" s="23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</row>
    <row r="181" ht="21.75" customHeight="1" s="29">
      <c r="A181" s="18" t="n"/>
      <c r="B181" s="2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21.75" customHeight="1" s="29">
      <c r="A182" s="14" t="n"/>
      <c r="B182" s="23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</row>
    <row r="183" ht="21.75" customHeight="1" s="29">
      <c r="A183" s="18" t="n"/>
      <c r="B183" s="2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21.75" customHeight="1" s="29">
      <c r="A184" s="14" t="n"/>
      <c r="B184" s="23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</row>
    <row r="185" ht="21.75" customHeight="1" s="29">
      <c r="A185" s="18" t="n"/>
      <c r="B185" s="2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21.75" customHeight="1" s="29">
      <c r="A186" s="14" t="n"/>
      <c r="B186" s="23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</row>
    <row r="187" ht="21.75" customHeight="1" s="29">
      <c r="A187" s="18" t="n"/>
      <c r="B187" s="2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21.75" customHeight="1" s="29">
      <c r="A188" s="14" t="n"/>
      <c r="B188" s="23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</row>
    <row r="189" ht="21.75" customHeight="1" s="29">
      <c r="A189" s="18" t="n"/>
      <c r="B189" s="2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21.75" customHeight="1" s="29">
      <c r="A190" s="14" t="n"/>
      <c r="B190" s="23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</row>
    <row r="191" ht="21.75" customHeight="1" s="29">
      <c r="A191" s="18" t="n"/>
      <c r="B191" s="2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21.75" customHeight="1" s="29">
      <c r="A192" s="14" t="n"/>
      <c r="B192" s="23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</row>
    <row r="193" ht="21.75" customHeight="1" s="29">
      <c r="A193" s="18" t="n"/>
      <c r="B193" s="2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21.75" customHeight="1" s="29">
      <c r="A194" s="14" t="n"/>
      <c r="B194" s="23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</row>
    <row r="195" ht="21.75" customHeight="1" s="29">
      <c r="A195" s="18" t="n"/>
      <c r="B195" s="2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21.75" customHeight="1" s="29">
      <c r="A196" s="14" t="n"/>
      <c r="B196" s="23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</row>
    <row r="197" ht="21.75" customHeight="1" s="29">
      <c r="A197" s="18" t="n"/>
      <c r="B197" s="2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21.75" customHeight="1" s="29">
      <c r="A198" s="14" t="n"/>
      <c r="B198" s="23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</row>
    <row r="199" ht="21.75" customHeight="1" s="29">
      <c r="A199" s="18" t="n"/>
      <c r="B199" s="2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21.75" customHeight="1" s="29">
      <c r="A200" s="14" t="n"/>
      <c r="B200" s="23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</row>
    <row r="201" ht="21.75" customHeight="1" s="29">
      <c r="A201" s="18" t="n"/>
      <c r="B201" s="2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21.75" customHeight="1" s="29">
      <c r="A202" s="14" t="n"/>
      <c r="B202" s="23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</row>
    <row r="203" ht="21.75" customHeight="1" s="29">
      <c r="A203" s="18" t="n"/>
      <c r="B203" s="2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21.75" customHeight="1" s="29">
      <c r="A204" s="14" t="n"/>
      <c r="B204" s="23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</row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204"/>
  <mergeCells count="4">
    <mergeCell ref="N28:O28"/>
    <mergeCell ref="A2:R2"/>
    <mergeCell ref="A1:R1"/>
    <mergeCell ref="N4:R4"/>
  </mergeCells>
  <conditionalFormatting sqref="C5:C204">
    <cfRule type="expression" priority="1" dxfId="0">
      <formula>C5="قيد الترجمة"</formula>
    </cfRule>
    <cfRule type="expression" priority="2" dxfId="1">
      <formula>C5="تمت الترجمة"</formula>
    </cfRule>
  </conditionalFormatting>
  <conditionalFormatting sqref="D5:D204">
    <cfRule type="expression" priority="3" dxfId="1">
      <formula>D5="تم التدقيق"</formula>
    </cfRule>
  </conditionalFormatting>
  <conditionalFormatting sqref="E5:E204">
    <cfRule type="expression" priority="4" dxfId="0">
      <formula>E5="قيد التحرير"</formula>
    </cfRule>
    <cfRule type="expression" priority="5" dxfId="1">
      <formula>E5="تم التحرير"</formula>
    </cfRule>
  </conditionalFormatting>
  <conditionalFormatting sqref="F5:F204">
    <cfRule type="expression" priority="6" dxfId="1">
      <formula>F5="تم التدقيق"</formula>
    </cfRule>
  </conditionalFormatting>
  <dataValidations count="4">
    <dataValidation sqref="D5:D204 F5:F204" showDropDown="0" showInputMessage="0" showErrorMessage="0" allowBlank="1" type="list">
      <formula1>"تم التدقيق"</formula1>
    </dataValidation>
    <dataValidation sqref="C5:C204" showDropDown="0" showInputMessage="0" showErrorMessage="0" allowBlank="1" type="list">
      <formula1>"قيد الترجمة,تمت الترجمة"</formula1>
    </dataValidation>
    <dataValidation sqref="G5:G204" showDropDown="0" showInputMessage="0" showErrorMessage="0" allowBlank="1" type="list">
      <formula1>"جاهز للنشر,تم النشر"</formula1>
    </dataValidation>
    <dataValidation sqref="E5:E204" showDropDown="0" showInputMessage="0" showErrorMessage="0" allowBlank="1" type="list">
      <formula1>"قيد التحرير,تم التحرير"</formula1>
    </dataValidation>
  </dataValidations>
  <pageMargins left="0.25" right="0.25" top="0.4" bottom="0.4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2026-03-20T14:26:41Z</dcterms:created>
  <dcterms:modified xmlns:dcterms="http://purl.org/dc/terms/" xmlns:xsi="http://www.w3.org/2001/XMLSchema-instance" xsi:type="dcterms:W3CDTF">2026-03-23T12:47:58Z</dcterms:modified>
</cp:coreProperties>
</file>